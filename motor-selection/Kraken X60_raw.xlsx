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raken X60_ra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<sst xmlns="http://schemas.openxmlformats.org/spreadsheetml/2006/main" count="26" uniqueCount="26">
  <si>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RPM</t>
  </si>
  <si>
    <t xml:space="preserve">RPM^2</t>
  </si>
  <si>
    <t xml:space="preserve">Efficiency %</t>
  </si>
  <si>
    <t xml:space="preserve">Power (W)</t>
  </si>
  <si>
    <t xml:space="preserve">Torque (Nm)</t>
  </si>
  <si>
    <t xml:space="preserve">Current (A)</t>
  </si>
  <si>
    <t xml:space="preserve">Desired acceleration</t>
  </si>
  <si>
    <t xml:space="preserve">Required Torque Nm</t>
  </si>
  <si>
    <t xml:space="preserve">Cruising RPM</t>
  </si>
  <si>
    <t xml:space="preserve">Gear reduction</t>
  </si>
  <si>
    <t xml:space="preserve">Cruising Motor RPM</t>
  </si>
  <si>
    <t xml:space="preserve">Cruising Wheel Torque (Nm)</t>
  </si>
  <si>
    <t xml:space="preserve">Crusing power (W)</t>
  </si>
  <si>
    <t xml:space="preserve">Cruising current (A)</t>
  </si>
  <si>
    <t xml:space="preserve">Desired Peak Accel</t>
  </si>
  <si>
    <t xml:space="preserve">Peak wheel torque</t>
  </si>
  <si>
    <t xml:space="preserve">Peak Motor Torque</t>
  </si>
  <si>
    <t xml:space="preserve">Peak Torque RPM Point</t>
  </si>
  <si>
    <t xml:space="preserve">Peak Power (W)</t>
  </si>
  <si>
    <t xml:space="preserve">Peak Current (A)</t>
  </si>
  <si>
    <t xml:space="preserve">X^2</t>
  </si>
  <si>
    <t xml:space="preserve">slope</t>
  </si>
  <si>
    <t xml:space="preserve">x</t>
  </si>
  <si>
    <t xml:space="preserve">intercept</t>
  </si>
  <si>
    <t xml:space="preserve">Slope</t>
  </si>
  <si>
    <t xml:space="preserve">Intercept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</si>
</sst>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0"/>
    <numFmt numFmtId="167" formatCode="0.00"/>
    <numFmt numFmtId="168" formatCode="0.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'Kraken X60_raw'!$D$1</c:f>
              <c:strCache>
                <c:ptCount val="1"/>
                <c:pt idx="0">
                  <c:v>Power (W)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1"/>
          </c:trendline>
          <c:xVal>
            <c:numRef>
              <c:f>'Kraken X60_raw'!$A$2:$A$63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6065.32868045338</c:v>
                </c:pt>
              </c:numCache>
            </c:numRef>
          </c:xVal>
          <c:yVal>
            <c:numRef>
              <c:f>'Kraken X60_raw'!$D$2:$D$63</c:f>
              <c:numCache>
                <c:formatCode>General</c:formatCode>
                <c:ptCount val="62"/>
                <c:pt idx="0">
                  <c:v>0</c:v>
                </c:pt>
                <c:pt idx="1">
                  <c:v>73.7149857904566</c:v>
                </c:pt>
                <c:pt idx="2">
                  <c:v>144.958523996407</c:v>
                </c:pt>
                <c:pt idx="3">
                  <c:v>213.730614617852</c:v>
                </c:pt>
                <c:pt idx="4">
                  <c:v>280.03125765479</c:v>
                </c:pt>
                <c:pt idx="5">
                  <c:v>343.860453107222</c:v>
                </c:pt>
                <c:pt idx="6">
                  <c:v>405.218200975149</c:v>
                </c:pt>
                <c:pt idx="7">
                  <c:v>464.104501258569</c:v>
                </c:pt>
                <c:pt idx="8">
                  <c:v>520.519353957483</c:v>
                </c:pt>
                <c:pt idx="9">
                  <c:v>574.462759071891</c:v>
                </c:pt>
                <c:pt idx="10">
                  <c:v>625.934716601793</c:v>
                </c:pt>
                <c:pt idx="11">
                  <c:v>674.935226547189</c:v>
                </c:pt>
                <c:pt idx="12">
                  <c:v>721.464288908079</c:v>
                </c:pt>
                <c:pt idx="13">
                  <c:v>765.521903684463</c:v>
                </c:pt>
                <c:pt idx="14">
                  <c:v>807.10807087634</c:v>
                </c:pt>
                <c:pt idx="15">
                  <c:v>846.222790483712</c:v>
                </c:pt>
                <c:pt idx="16">
                  <c:v>882.866062506577</c:v>
                </c:pt>
                <c:pt idx="17">
                  <c:v>917.037886944937</c:v>
                </c:pt>
                <c:pt idx="18">
                  <c:v>948.73826379879</c:v>
                </c:pt>
                <c:pt idx="19">
                  <c:v>977.967193068137</c:v>
                </c:pt>
                <c:pt idx="20">
                  <c:v>1004.72467475298</c:v>
                </c:pt>
                <c:pt idx="21">
                  <c:v>1029.01070885331</c:v>
                </c:pt>
                <c:pt idx="22">
                  <c:v>1050.82529536914</c:v>
                </c:pt>
                <c:pt idx="23">
                  <c:v>1070.16843430047</c:v>
                </c:pt>
                <c:pt idx="24">
                  <c:v>1087.04012564728</c:v>
                </c:pt>
                <c:pt idx="25">
                  <c:v>1101.44036940959</c:v>
                </c:pt>
                <c:pt idx="26">
                  <c:v>1113.3691655874</c:v>
                </c:pt>
                <c:pt idx="27">
                  <c:v>1122.8265141807</c:v>
                </c:pt>
                <c:pt idx="28">
                  <c:v>1129.81241518949</c:v>
                </c:pt>
                <c:pt idx="29">
                  <c:v>1134.32686861378</c:v>
                </c:pt>
                <c:pt idx="30">
                  <c:v>1136.36987445356</c:v>
                </c:pt>
                <c:pt idx="31">
                  <c:v>1135.94143270883</c:v>
                </c:pt>
                <c:pt idx="32">
                  <c:v>1133.0415433796</c:v>
                </c:pt>
                <c:pt idx="33">
                  <c:v>1127.67020646586</c:v>
                </c:pt>
                <c:pt idx="34">
                  <c:v>1119.82742196762</c:v>
                </c:pt>
                <c:pt idx="35">
                  <c:v>1109.51318988487</c:v>
                </c:pt>
                <c:pt idx="36">
                  <c:v>1096.72751021761</c:v>
                </c:pt>
                <c:pt idx="37">
                  <c:v>1081.47038296585</c:v>
                </c:pt>
                <c:pt idx="38">
                  <c:v>1063.74180812958</c:v>
                </c:pt>
                <c:pt idx="39">
                  <c:v>1043.54178570881</c:v>
                </c:pt>
                <c:pt idx="40">
                  <c:v>1020.87031570353</c:v>
                </c:pt>
                <c:pt idx="41">
                  <c:v>995.72739811374</c:v>
                </c:pt>
                <c:pt idx="42">
                  <c:v>968.113032939448</c:v>
                </c:pt>
                <c:pt idx="43">
                  <c:v>938.027220180649</c:v>
                </c:pt>
                <c:pt idx="44">
                  <c:v>905.469959837344</c:v>
                </c:pt>
                <c:pt idx="45">
                  <c:v>870.441251909534</c:v>
                </c:pt>
                <c:pt idx="46">
                  <c:v>832.941096397217</c:v>
                </c:pt>
                <c:pt idx="47">
                  <c:v>792.969493300394</c:v>
                </c:pt>
                <c:pt idx="48">
                  <c:v>750.526442619065</c:v>
                </c:pt>
                <c:pt idx="49">
                  <c:v>705.61194435323</c:v>
                </c:pt>
                <c:pt idx="50">
                  <c:v>658.225998502889</c:v>
                </c:pt>
                <c:pt idx="51">
                  <c:v>608.368605068042</c:v>
                </c:pt>
                <c:pt idx="52">
                  <c:v>556.039764048689</c:v>
                </c:pt>
                <c:pt idx="53">
                  <c:v>501.23947544483</c:v>
                </c:pt>
                <c:pt idx="54">
                  <c:v>443.967739256464</c:v>
                </c:pt>
                <c:pt idx="55">
                  <c:v>384.224555483593</c:v>
                </c:pt>
                <c:pt idx="56">
                  <c:v>322.009924126215</c:v>
                </c:pt>
                <c:pt idx="57">
                  <c:v>257.323845184331</c:v>
                </c:pt>
                <c:pt idx="58">
                  <c:v>190.166318657942</c:v>
                </c:pt>
                <c:pt idx="59">
                  <c:v>120.537344547046</c:v>
                </c:pt>
                <c:pt idx="60">
                  <c:v>48.4369228516442</c:v>
                </c:pt>
                <c:pt idx="61">
                  <c:v>0</c:v>
                </c:pt>
              </c:numCache>
            </c:numRef>
          </c:yVal>
          <c:smooth val="0"/>
        </c:ser>
        <c:axId val="56615405"/>
        <c:axId val="86747126"/>
      </c:scatterChart>
      <c:valAx>
        <c:axId val="566154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6747126"/>
        <c:crosses val="autoZero"/>
        <c:crossBetween val="midCat"/>
      </c:valAx>
      <c:valAx>
        <c:axId val="86747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66154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620640</xdr:colOff>
      <xdr:row>51</xdr:row>
      <xdr:rowOff>119880</xdr:rowOff>
    </xdr:from>
    <xdr:to>
      <xdr:col>13</xdr:col>
      <xdr:colOff>497880</xdr:colOff>
      <xdr:row>71</xdr:row>
      <xdr:rowOff>108000</xdr:rowOff>
    </xdr:to>
    <xdr:graphicFrame>
      <xdr:nvGraphicFramePr>
        <xdr:cNvPr id="0" name=""/>
        <xdr:cNvGraphicFramePr/>
      </xdr:nvGraphicFramePr>
      <xdr:xfrm>
        <a:off x="9914040" y="8548920"/>
        <a:ext cx="57571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6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M3" activeCellId="0" sqref="M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1" width="16.74"/>
    <col collapsed="false" customWidth="true" hidden="false" outlineLevel="0" max="5" min="5" style="1" width="18.68"/>
    <col collapsed="false" customWidth="true" hidden="false" outlineLevel="0" max="6" min="6" style="1" width="16.74"/>
    <col collapsed="false" customWidth="true" hidden="false" outlineLevel="0" max="11" min="8" style="1" width="17.95"/>
    <col collapsed="false" customWidth="true" hidden="false" outlineLevel="0" max="12" min="12" style="1" width="15.93"/>
    <col collapsed="false" customWidth="true" hidden="false" outlineLevel="0" max="13" min="13" style="1" width="13.66"/>
    <col collapsed="false" customWidth="true" hidden="false" outlineLevel="0" max="14" min="14" style="1" width="18.46"/>
    <col collapsed="false" customWidth="true" hidden="false" outlineLevel="0" max="15" min="15" style="1" width="26.05"/>
    <col collapsed="false" customWidth="true" hidden="false" outlineLevel="0" max="16" min="16" style="1" width="20.36"/>
    <col collapsed="false" customWidth="true" hidden="false" outlineLevel="0" max="17" min="17" style="1" width="14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customFormat="false" ht="12.8" hidden="false" customHeight="false" outlineLevel="0" collapsed="false">
      <c r="A2" s="1" t="n">
        <v>0</v>
      </c>
      <c r="B2" s="1" t="n">
        <f aca="false">POWER(A2, 2)</f>
        <v>0</v>
      </c>
      <c r="C2" s="1" t="n">
        <v>0</v>
      </c>
      <c r="D2" s="1" t="n">
        <v>0</v>
      </c>
      <c r="E2" s="1" t="n">
        <v>7.157265551</v>
      </c>
      <c r="F2" s="1" t="n">
        <v>374.3825832</v>
      </c>
      <c r="H2" s="1" t="n">
        <v>0.1</v>
      </c>
      <c r="I2" s="1" t="n">
        <v>3.392592618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customFormat="false" ht="12.8" hidden="false" customHeight="false" outlineLevel="0" collapsed="false">
      <c r="A3" s="1" t="n">
        <v>100</v>
      </c>
      <c r="B3" s="1" t="n">
        <f aca="false">POWER(A3, 2)</f>
        <v>10000</v>
      </c>
      <c r="C3" s="1" t="n">
        <v>1.66810641636181</v>
      </c>
      <c r="D3" s="1" t="n">
        <v>73.7149857904566</v>
      </c>
      <c r="E3" s="1" t="n">
        <v>7.0392626211</v>
      </c>
      <c r="F3" s="1" t="n">
        <v>368.256810374</v>
      </c>
      <c r="H3" s="1" t="n">
        <v>0.15</v>
      </c>
      <c r="I3" s="1" t="n">
        <v>4.225501017</v>
      </c>
      <c r="L3" s="1" t="n">
        <v>250</v>
      </c>
      <c r="M3" s="1" t="n">
        <v>23</v>
      </c>
      <c r="N3" s="1" t="n">
        <f aca="false">L3 * M3</f>
        <v>5750</v>
      </c>
      <c r="O3" s="1" t="n">
        <f aca="false">(N3 * E67 + E70) * M3</f>
        <v>8.55823288025</v>
      </c>
      <c r="P3" s="1" t="n">
        <f aca="false">N3 * N3 * D67 + D69 * N3</f>
        <v>224.0540128692</v>
      </c>
      <c r="Q3" s="2" t="n">
        <f aca="false">N3 * F67 + F70</f>
        <v>22.150645705</v>
      </c>
    </row>
    <row r="4" customFormat="false" ht="12.8" hidden="false" customHeight="false" outlineLevel="0" collapsed="false">
      <c r="A4" s="1" t="n">
        <v>200</v>
      </c>
      <c r="B4" s="1" t="n">
        <f aca="false">POWER(A4, 2)</f>
        <v>40000</v>
      </c>
      <c r="C4" s="1" t="n">
        <v>3.3357751054684</v>
      </c>
      <c r="D4" s="1" t="n">
        <v>144.958523996407</v>
      </c>
      <c r="E4" s="1" t="n">
        <v>6.9212596912</v>
      </c>
      <c r="F4" s="1" t="n">
        <v>362.131037548</v>
      </c>
      <c r="H4" s="1" t="n">
        <v>0.2</v>
      </c>
      <c r="I4" s="1" t="n">
        <v>5.058409416</v>
      </c>
    </row>
    <row r="5" customFormat="false" ht="23.7" hidden="false" customHeight="true" outlineLevel="0" collapsed="false">
      <c r="A5" s="1" t="n">
        <v>300</v>
      </c>
      <c r="B5" s="1" t="n">
        <f aca="false">POWER(A5, 2)</f>
        <v>90000</v>
      </c>
      <c r="C5" s="1" t="n">
        <v>5.00298347143713</v>
      </c>
      <c r="D5" s="1" t="n">
        <v>213.730614617852</v>
      </c>
      <c r="E5" s="1" t="n">
        <v>6.8032567613</v>
      </c>
      <c r="F5" s="1" t="n">
        <v>356.005264722</v>
      </c>
      <c r="H5" s="1" t="n">
        <v>0.25</v>
      </c>
      <c r="I5" s="1" t="n">
        <v>5.891317815</v>
      </c>
      <c r="K5" s="1" t="s">
        <v>14</v>
      </c>
      <c r="L5" s="1" t="s">
        <v>15</v>
      </c>
      <c r="N5" s="1" t="s">
        <v>16</v>
      </c>
      <c r="O5" s="3" t="s">
        <v>17</v>
      </c>
      <c r="P5" s="1" t="s">
        <v>18</v>
      </c>
      <c r="Q5" s="1" t="s">
        <v>19</v>
      </c>
    </row>
    <row r="6" customFormat="false" ht="12.8" hidden="false" customHeight="false" outlineLevel="0" collapsed="false">
      <c r="A6" s="1" t="n">
        <v>400</v>
      </c>
      <c r="B6" s="1" t="n">
        <f aca="false">POWER(A6, 2)</f>
        <v>160000</v>
      </c>
      <c r="C6" s="1" t="n">
        <v>6.66970733592916</v>
      </c>
      <c r="D6" s="1" t="n">
        <v>280.03125765479</v>
      </c>
      <c r="E6" s="1" t="n">
        <v>6.6852538314</v>
      </c>
      <c r="F6" s="1" t="n">
        <v>349.879491896</v>
      </c>
      <c r="H6" s="1" t="n">
        <v>0.3</v>
      </c>
      <c r="I6" s="1" t="n">
        <v>6.724226214</v>
      </c>
      <c r="K6" s="1" t="n">
        <v>2.85</v>
      </c>
      <c r="L6" s="4" t="n">
        <f aca="false">I83 * K6 + I86</f>
        <v>49.2025545602201</v>
      </c>
      <c r="M6" s="1" t="n">
        <f aca="false">M3</f>
        <v>23</v>
      </c>
      <c r="N6" s="1" t="n">
        <f aca="false">L6 / M6</f>
        <v>2.13924150261827</v>
      </c>
      <c r="O6" s="5" t="n">
        <f aca="false">(N6 - E70) / E67</f>
        <v>4252.45716579596</v>
      </c>
      <c r="P6" s="6" t="n">
        <f aca="false">O6 * O6 * D67 + D69 * O6</f>
        <v>952.639053119092</v>
      </c>
      <c r="Q6" s="5" t="n">
        <f aca="false">F67 * O6 + F70</f>
        <v>113.886717700381</v>
      </c>
    </row>
    <row r="7" customFormat="false" ht="12.8" hidden="false" customHeight="false" outlineLevel="0" collapsed="false">
      <c r="A7" s="1" t="n">
        <v>500</v>
      </c>
      <c r="B7" s="1" t="n">
        <f aca="false">POWER(A7, 2)</f>
        <v>250000</v>
      </c>
      <c r="C7" s="1" t="n">
        <v>8.33592079715072</v>
      </c>
      <c r="D7" s="1" t="n">
        <v>343.860453107222</v>
      </c>
      <c r="E7" s="1" t="n">
        <v>6.5672509015</v>
      </c>
      <c r="F7" s="1" t="n">
        <v>343.75371907</v>
      </c>
      <c r="H7" s="1" t="n">
        <v>0.35</v>
      </c>
      <c r="I7" s="1" t="n">
        <v>7.557134613</v>
      </c>
    </row>
    <row r="8" customFormat="false" ht="12.8" hidden="false" customHeight="false" outlineLevel="0" collapsed="false">
      <c r="A8" s="1" t="n">
        <v>600</v>
      </c>
      <c r="B8" s="1" t="n">
        <f aca="false">POWER(A8, 2)</f>
        <v>360000</v>
      </c>
      <c r="C8" s="1" t="n">
        <v>10.0015960735051</v>
      </c>
      <c r="D8" s="1" t="n">
        <v>405.218200975149</v>
      </c>
      <c r="E8" s="1" t="n">
        <v>6.4492479716</v>
      </c>
      <c r="F8" s="1" t="n">
        <v>337.627946244</v>
      </c>
      <c r="H8" s="1" t="n">
        <v>0.4</v>
      </c>
      <c r="I8" s="1" t="n">
        <v>8.390043012</v>
      </c>
    </row>
    <row r="9" customFormat="false" ht="12.8" hidden="false" customHeight="false" outlineLevel="0" collapsed="false">
      <c r="A9" s="1" t="n">
        <v>700</v>
      </c>
      <c r="B9" s="1" t="n">
        <f aca="false">POWER(A9, 2)</f>
        <v>490000</v>
      </c>
      <c r="C9" s="1" t="n">
        <v>11.6667033299097</v>
      </c>
      <c r="D9" s="1" t="n">
        <v>464.104501258569</v>
      </c>
      <c r="E9" s="1" t="n">
        <v>6.3312450417</v>
      </c>
      <c r="F9" s="1" t="n">
        <v>331.502173418</v>
      </c>
      <c r="H9" s="1" t="n">
        <v>0.45</v>
      </c>
      <c r="I9" s="1" t="n">
        <v>9.222951411</v>
      </c>
    </row>
    <row r="10" customFormat="false" ht="12.8" hidden="false" customHeight="false" outlineLevel="0" collapsed="false">
      <c r="A10" s="1" t="n">
        <v>800</v>
      </c>
      <c r="B10" s="1" t="n">
        <f aca="false">POWER(A10, 2)</f>
        <v>640000</v>
      </c>
      <c r="C10" s="1" t="n">
        <v>13.3312104844941</v>
      </c>
      <c r="D10" s="1" t="n">
        <v>520.519353957483</v>
      </c>
      <c r="E10" s="1" t="n">
        <v>6.2132421118</v>
      </c>
      <c r="F10" s="1" t="n">
        <v>325.376400592</v>
      </c>
      <c r="H10" s="1" t="n">
        <v>0.5</v>
      </c>
      <c r="I10" s="1" t="n">
        <v>10.05585981</v>
      </c>
    </row>
    <row r="11" customFormat="false" ht="12.8" hidden="false" customHeight="false" outlineLevel="0" collapsed="false">
      <c r="A11" s="1" t="n">
        <v>900</v>
      </c>
      <c r="B11" s="1" t="n">
        <f aca="false">POWER(A11, 2)</f>
        <v>810000</v>
      </c>
      <c r="C11" s="1" t="n">
        <v>14.9950829930436</v>
      </c>
      <c r="D11" s="1" t="n">
        <v>574.462759071891</v>
      </c>
      <c r="E11" s="1" t="n">
        <v>6.0952391819</v>
      </c>
      <c r="F11" s="1" t="n">
        <v>319.250627766</v>
      </c>
      <c r="H11" s="1" t="n">
        <v>0.55</v>
      </c>
      <c r="I11" s="1" t="n">
        <v>10.88876821</v>
      </c>
    </row>
    <row r="12" customFormat="false" ht="12.8" hidden="false" customHeight="false" outlineLevel="0" collapsed="false">
      <c r="A12" s="1" t="n">
        <v>1000</v>
      </c>
      <c r="B12" s="1" t="n">
        <f aca="false">POWER(A12, 2)</f>
        <v>1000000</v>
      </c>
      <c r="C12" s="1" t="n">
        <v>16.6582836081402</v>
      </c>
      <c r="D12" s="1" t="n">
        <v>625.934716601793</v>
      </c>
      <c r="E12" s="1" t="n">
        <v>5.977236252</v>
      </c>
      <c r="F12" s="1" t="n">
        <v>313.12485494</v>
      </c>
      <c r="H12" s="1" t="n">
        <v>0.6</v>
      </c>
      <c r="I12" s="1" t="n">
        <v>11.72167661</v>
      </c>
    </row>
    <row r="13" customFormat="false" ht="12.8" hidden="false" customHeight="false" outlineLevel="0" collapsed="false">
      <c r="A13" s="1" t="n">
        <v>1100</v>
      </c>
      <c r="B13" s="1" t="n">
        <f aca="false">POWER(A13, 2)</f>
        <v>1210000</v>
      </c>
      <c r="C13" s="1" t="n">
        <v>18.3207721094684</v>
      </c>
      <c r="D13" s="1" t="n">
        <v>674.935226547189</v>
      </c>
      <c r="E13" s="1" t="n">
        <v>5.8592333221</v>
      </c>
      <c r="F13" s="1" t="n">
        <v>306.999082114</v>
      </c>
      <c r="H13" s="1" t="n">
        <v>0.65</v>
      </c>
      <c r="I13" s="1" t="n">
        <v>12.55458501</v>
      </c>
    </row>
    <row r="14" customFormat="false" ht="12.8" hidden="false" customHeight="false" outlineLevel="0" collapsed="false">
      <c r="A14" s="1" t="n">
        <v>1200</v>
      </c>
      <c r="B14" s="1" t="n">
        <f aca="false">POWER(A14, 2)</f>
        <v>1440000</v>
      </c>
      <c r="C14" s="1" t="n">
        <v>19.9825050011743</v>
      </c>
      <c r="D14" s="1" t="n">
        <v>721.464288908079</v>
      </c>
      <c r="E14" s="1" t="n">
        <v>5.7412303922</v>
      </c>
      <c r="F14" s="1" t="n">
        <v>300.873309288</v>
      </c>
      <c r="H14" s="1" t="n">
        <v>0.7</v>
      </c>
      <c r="I14" s="1" t="n">
        <v>13.38749341</v>
      </c>
    </row>
    <row r="15" customFormat="false" ht="12.8" hidden="false" customHeight="false" outlineLevel="0" collapsed="false">
      <c r="A15" s="1" t="n">
        <v>1300</v>
      </c>
      <c r="B15" s="1" t="n">
        <f aca="false">POWER(A15, 2)</f>
        <v>1690000</v>
      </c>
      <c r="C15" s="1" t="n">
        <v>21.6434351714861</v>
      </c>
      <c r="D15" s="1" t="n">
        <v>765.521903684463</v>
      </c>
      <c r="E15" s="1" t="n">
        <v>5.6232274623</v>
      </c>
      <c r="F15" s="1" t="n">
        <v>294.747536462</v>
      </c>
      <c r="H15" s="1" t="n">
        <v>0.75</v>
      </c>
      <c r="I15" s="1" t="n">
        <v>14.2204018</v>
      </c>
    </row>
    <row r="16" customFormat="false" ht="12.8" hidden="false" customHeight="false" outlineLevel="0" collapsed="false">
      <c r="A16" s="1" t="n">
        <v>1400</v>
      </c>
      <c r="B16" s="1" t="n">
        <f aca="false">POWER(A16, 2)</f>
        <v>1960000</v>
      </c>
      <c r="C16" s="1" t="n">
        <v>23.3035115089888</v>
      </c>
      <c r="D16" s="1" t="n">
        <v>807.10807087634</v>
      </c>
      <c r="E16" s="1" t="n">
        <v>5.5052245324</v>
      </c>
      <c r="F16" s="1" t="n">
        <v>288.621763636</v>
      </c>
      <c r="H16" s="1" t="n">
        <v>0.8</v>
      </c>
      <c r="I16" s="1" t="n">
        <v>15.0533102</v>
      </c>
    </row>
    <row r="17" customFormat="false" ht="12.8" hidden="false" customHeight="false" outlineLevel="0" collapsed="false">
      <c r="A17" s="1" t="n">
        <v>1500</v>
      </c>
      <c r="B17" s="1" t="n">
        <f aca="false">POWER(A17, 2)</f>
        <v>2250000</v>
      </c>
      <c r="C17" s="1" t="n">
        <v>24.962678468974</v>
      </c>
      <c r="D17" s="1" t="n">
        <v>846.222790483712</v>
      </c>
      <c r="E17" s="1" t="n">
        <v>5.3872216025</v>
      </c>
      <c r="F17" s="1" t="n">
        <v>282.49599081</v>
      </c>
      <c r="H17" s="1" t="n">
        <v>0.85</v>
      </c>
      <c r="I17" s="1" t="n">
        <v>15.8862186</v>
      </c>
    </row>
    <row r="18" customFormat="false" ht="12.8" hidden="false" customHeight="false" outlineLevel="0" collapsed="false">
      <c r="A18" s="1" t="n">
        <v>1600</v>
      </c>
      <c r="B18" s="1" t="n">
        <f aca="false">POWER(A18, 2)</f>
        <v>2560000</v>
      </c>
      <c r="C18" s="1" t="n">
        <v>26.6208755821177</v>
      </c>
      <c r="D18" s="1" t="n">
        <v>882.866062506577</v>
      </c>
      <c r="E18" s="1" t="n">
        <v>5.2692186726</v>
      </c>
      <c r="F18" s="1" t="n">
        <v>276.370217984</v>
      </c>
      <c r="H18" s="1" t="n">
        <v>0.9</v>
      </c>
      <c r="I18" s="1" t="n">
        <v>16.719127</v>
      </c>
    </row>
    <row r="19" customFormat="false" ht="12.8" hidden="false" customHeight="false" outlineLevel="0" collapsed="false">
      <c r="A19" s="1" t="n">
        <v>1700</v>
      </c>
      <c r="B19" s="1" t="n">
        <f aca="false">POWER(A19, 2)</f>
        <v>2890000</v>
      </c>
      <c r="C19" s="1" t="n">
        <v>28.2780368963361</v>
      </c>
      <c r="D19" s="1" t="n">
        <v>917.037886944937</v>
      </c>
      <c r="E19" s="1" t="n">
        <v>5.1512157427</v>
      </c>
      <c r="F19" s="1" t="n">
        <v>270.244445158</v>
      </c>
      <c r="H19" s="1" t="n">
        <v>0.95</v>
      </c>
      <c r="I19" s="1" t="n">
        <v>17.5520354</v>
      </c>
    </row>
    <row r="20" customFormat="false" ht="12.8" hidden="false" customHeight="false" outlineLevel="0" collapsed="false">
      <c r="A20" s="1" t="n">
        <v>1800</v>
      </c>
      <c r="B20" s="1" t="n">
        <f aca="false">POWER(A20, 2)</f>
        <v>3240000</v>
      </c>
      <c r="C20" s="1" t="n">
        <v>29.9340903409704</v>
      </c>
      <c r="D20" s="1" t="n">
        <v>948.73826379879</v>
      </c>
      <c r="E20" s="1" t="n">
        <v>5.0332128128</v>
      </c>
      <c r="F20" s="1" t="n">
        <v>264.118672332</v>
      </c>
      <c r="H20" s="1" t="n">
        <v>1</v>
      </c>
      <c r="I20" s="1" t="n">
        <v>18.3849438</v>
      </c>
    </row>
    <row r="21" customFormat="false" ht="12.8" hidden="false" customHeight="false" outlineLevel="0" collapsed="false">
      <c r="A21" s="1" t="n">
        <v>1900</v>
      </c>
      <c r="B21" s="1" t="n">
        <f aca="false">POWER(A21, 2)</f>
        <v>3610000</v>
      </c>
      <c r="C21" s="1" t="n">
        <v>31.5889570003907</v>
      </c>
      <c r="D21" s="1" t="n">
        <v>977.967193068137</v>
      </c>
      <c r="E21" s="1" t="n">
        <v>4.9152098829</v>
      </c>
      <c r="F21" s="1" t="n">
        <v>257.992899506</v>
      </c>
      <c r="H21" s="1" t="n">
        <v>1.05</v>
      </c>
      <c r="I21" s="1" t="n">
        <v>19.2178522</v>
      </c>
    </row>
    <row r="22" customFormat="false" ht="12.8" hidden="false" customHeight="false" outlineLevel="0" collapsed="false">
      <c r="A22" s="1" t="n">
        <v>2000</v>
      </c>
      <c r="B22" s="1" t="n">
        <f aca="false">POWER(A22, 2)</f>
        <v>4000000</v>
      </c>
      <c r="C22" s="1" t="n">
        <v>33.2425502815979</v>
      </c>
      <c r="D22" s="1" t="n">
        <v>1004.72467475298</v>
      </c>
      <c r="E22" s="1" t="n">
        <v>4.797206953</v>
      </c>
      <c r="F22" s="1" t="n">
        <v>251.86712668</v>
      </c>
      <c r="H22" s="1" t="n">
        <v>1.1</v>
      </c>
      <c r="I22" s="1" t="n">
        <v>20.0507606</v>
      </c>
    </row>
    <row r="23" customFormat="false" ht="12.8" hidden="false" customHeight="false" outlineLevel="0" collapsed="false">
      <c r="A23" s="1" t="n">
        <v>2100</v>
      </c>
      <c r="B23" s="1" t="n">
        <f aca="false">POWER(A23, 2)</f>
        <v>4410000</v>
      </c>
      <c r="C23" s="1" t="n">
        <v>34.8947749573274</v>
      </c>
      <c r="D23" s="1" t="n">
        <v>1029.01070885331</v>
      </c>
      <c r="E23" s="1" t="n">
        <v>4.6792040231</v>
      </c>
      <c r="F23" s="1" t="n">
        <v>245.741353854</v>
      </c>
      <c r="H23" s="1" t="n">
        <v>1.15</v>
      </c>
      <c r="I23" s="1" t="n">
        <v>20.883669</v>
      </c>
    </row>
    <row r="24" customFormat="false" ht="12.8" hidden="false" customHeight="false" outlineLevel="0" collapsed="false">
      <c r="A24" s="1" t="n">
        <v>2200</v>
      </c>
      <c r="B24" s="1" t="n">
        <f aca="false">POWER(A24, 2)</f>
        <v>4840000</v>
      </c>
      <c r="C24" s="1" t="n">
        <v>36.5455260623734</v>
      </c>
      <c r="D24" s="1" t="n">
        <v>1050.82529536914</v>
      </c>
      <c r="E24" s="1" t="n">
        <v>4.5612010932</v>
      </c>
      <c r="F24" s="1" t="n">
        <v>239.615581028</v>
      </c>
      <c r="H24" s="1" t="n">
        <v>1.2</v>
      </c>
      <c r="I24" s="1" t="n">
        <v>21.71657739</v>
      </c>
    </row>
    <row r="25" customFormat="false" ht="12.8" hidden="false" customHeight="false" outlineLevel="0" collapsed="false">
      <c r="A25" s="1" t="n">
        <v>2300</v>
      </c>
      <c r="B25" s="1" t="n">
        <f aca="false">POWER(A25, 2)</f>
        <v>5290000</v>
      </c>
      <c r="C25" s="1" t="n">
        <v>38.1946876161802</v>
      </c>
      <c r="D25" s="1" t="n">
        <v>1070.16843430047</v>
      </c>
      <c r="E25" s="1" t="n">
        <v>4.4431981633</v>
      </c>
      <c r="F25" s="1" t="n">
        <v>233.489808202</v>
      </c>
      <c r="H25" s="1" t="n">
        <v>1.25</v>
      </c>
      <c r="I25" s="1" t="n">
        <v>22.54948579</v>
      </c>
    </row>
    <row r="26" customFormat="false" ht="12.8" hidden="false" customHeight="false" outlineLevel="0" collapsed="false">
      <c r="A26" s="1" t="n">
        <v>2400</v>
      </c>
      <c r="B26" s="1" t="n">
        <f aca="false">POWER(A26, 2)</f>
        <v>5760000</v>
      </c>
      <c r="C26" s="1" t="n">
        <v>39.8421311389319</v>
      </c>
      <c r="D26" s="1" t="n">
        <v>1087.04012564728</v>
      </c>
      <c r="E26" s="1" t="n">
        <v>4.3251952334</v>
      </c>
      <c r="F26" s="1" t="n">
        <v>227.364035376</v>
      </c>
      <c r="H26" s="1" t="n">
        <v>1.3</v>
      </c>
      <c r="I26" s="1" t="n">
        <v>23.38239419</v>
      </c>
    </row>
    <row r="27" customFormat="false" ht="12.8" hidden="false" customHeight="false" outlineLevel="0" collapsed="false">
      <c r="A27" s="1" t="n">
        <v>2500</v>
      </c>
      <c r="B27" s="1" t="n">
        <f aca="false">POWER(A27, 2)</f>
        <v>6250000</v>
      </c>
      <c r="C27" s="1" t="n">
        <v>41.4877139211196</v>
      </c>
      <c r="D27" s="1" t="n">
        <v>1101.44036940959</v>
      </c>
      <c r="E27" s="1" t="n">
        <v>4.2071923035</v>
      </c>
      <c r="F27" s="1" t="n">
        <v>221.23826255</v>
      </c>
      <c r="H27" s="1" t="n">
        <v>1.35</v>
      </c>
      <c r="I27" s="1" t="n">
        <v>24.21530259</v>
      </c>
    </row>
    <row r="28" customFormat="false" ht="12.8" hidden="false" customHeight="false" outlineLevel="0" collapsed="false">
      <c r="A28" s="1" t="n">
        <v>2600</v>
      </c>
      <c r="B28" s="1" t="n">
        <f aca="false">POWER(A28, 2)</f>
        <v>6760000</v>
      </c>
      <c r="C28" s="1" t="n">
        <v>43.1312769974408</v>
      </c>
      <c r="D28" s="1" t="n">
        <v>1113.3691655874</v>
      </c>
      <c r="E28" s="1" t="n">
        <v>4.0891893736</v>
      </c>
      <c r="F28" s="1" t="n">
        <v>215.112489724</v>
      </c>
      <c r="H28" s="1" t="n">
        <v>1.4</v>
      </c>
      <c r="I28" s="1" t="n">
        <v>25.04821099</v>
      </c>
    </row>
    <row r="29" customFormat="false" ht="12.8" hidden="false" customHeight="false" outlineLevel="0" collapsed="false">
      <c r="A29" s="1" t="n">
        <v>2700</v>
      </c>
      <c r="B29" s="1" t="n">
        <f aca="false">POWER(A29, 2)</f>
        <v>7290000</v>
      </c>
      <c r="C29" s="1" t="n">
        <v>44.772642764369</v>
      </c>
      <c r="D29" s="1" t="n">
        <v>1122.8265141807</v>
      </c>
      <c r="E29" s="1" t="n">
        <v>3.9711864437</v>
      </c>
      <c r="F29" s="1" t="n">
        <v>208.986716898</v>
      </c>
      <c r="H29" s="1" t="n">
        <v>1.45</v>
      </c>
      <c r="I29" s="1" t="n">
        <v>25.88111939</v>
      </c>
    </row>
    <row r="30" customFormat="false" ht="12.8" hidden="false" customHeight="false" outlineLevel="0" collapsed="false">
      <c r="A30" s="1" t="n">
        <v>2800</v>
      </c>
      <c r="B30" s="1" t="n">
        <f aca="false">POWER(A30, 2)</f>
        <v>7840000</v>
      </c>
      <c r="C30" s="1" t="n">
        <v>46.4116121660697</v>
      </c>
      <c r="D30" s="1" t="n">
        <v>1129.81241518949</v>
      </c>
      <c r="E30" s="1" t="n">
        <v>3.8531835138</v>
      </c>
      <c r="F30" s="1" t="n">
        <v>202.860944072</v>
      </c>
      <c r="H30" s="1" t="n">
        <v>1.5</v>
      </c>
      <c r="I30" s="1" t="n">
        <v>26.71402779</v>
      </c>
    </row>
    <row r="31" customFormat="false" ht="12.8" hidden="false" customHeight="false" outlineLevel="0" collapsed="false">
      <c r="A31" s="1" t="n">
        <v>2900</v>
      </c>
      <c r="B31" s="1" t="n">
        <f aca="false">POWER(A31, 2)</f>
        <v>8410000</v>
      </c>
      <c r="C31" s="1" t="n">
        <v>48.0479613545816</v>
      </c>
      <c r="D31" s="1" t="n">
        <v>1134.32686861378</v>
      </c>
      <c r="E31" s="1" t="n">
        <v>3.7351805839</v>
      </c>
      <c r="F31" s="1" t="n">
        <v>196.735171246</v>
      </c>
      <c r="H31" s="1" t="n">
        <v>1.55</v>
      </c>
      <c r="I31" s="1" t="n">
        <v>27.54693619</v>
      </c>
    </row>
    <row r="32" customFormat="false" ht="12.8" hidden="false" customHeight="false" outlineLevel="0" collapsed="false">
      <c r="A32" s="1" t="n">
        <v>3000</v>
      </c>
      <c r="B32" s="1" t="n">
        <f aca="false">POWER(A32, 2)</f>
        <v>9000000</v>
      </c>
      <c r="C32" s="1" t="n">
        <v>49.6814377059909</v>
      </c>
      <c r="D32" s="1" t="n">
        <v>1136.36987445356</v>
      </c>
      <c r="E32" s="1" t="n">
        <v>3.617177654</v>
      </c>
      <c r="F32" s="1" t="n">
        <v>190.60939842</v>
      </c>
      <c r="H32" s="1" t="n">
        <v>1.6</v>
      </c>
      <c r="I32" s="1" t="n">
        <v>28.37984459</v>
      </c>
    </row>
    <row r="33" customFormat="false" ht="12.8" hidden="false" customHeight="false" outlineLevel="0" collapsed="false">
      <c r="A33" s="1" t="n">
        <v>3100</v>
      </c>
      <c r="B33" s="1" t="n">
        <f aca="false">POWER(A33, 2)</f>
        <v>9610000</v>
      </c>
      <c r="C33" s="1" t="n">
        <v>51.3117550429082</v>
      </c>
      <c r="D33" s="1" t="n">
        <v>1135.94143270883</v>
      </c>
      <c r="E33" s="1" t="n">
        <v>3.4991747241</v>
      </c>
      <c r="F33" s="1" t="n">
        <v>184.483625594</v>
      </c>
      <c r="H33" s="1" t="n">
        <v>1.65</v>
      </c>
      <c r="I33" s="1" t="n">
        <v>29.21275299</v>
      </c>
    </row>
    <row r="34" customFormat="false" ht="12.8" hidden="false" customHeight="false" outlineLevel="0" collapsed="false">
      <c r="A34" s="1" t="n">
        <v>3200</v>
      </c>
      <c r="B34" s="1" t="n">
        <f aca="false">POWER(A34, 2)</f>
        <v>10240000</v>
      </c>
      <c r="C34" s="1" t="n">
        <v>52.9385878724297</v>
      </c>
      <c r="D34" s="1" t="n">
        <v>1133.0415433796</v>
      </c>
      <c r="E34" s="1" t="n">
        <v>3.3811717942</v>
      </c>
      <c r="F34" s="1" t="n">
        <v>178.357852768</v>
      </c>
      <c r="H34" s="1" t="n">
        <v>1.7</v>
      </c>
      <c r="I34" s="1" t="n">
        <v>30.04566138</v>
      </c>
    </row>
    <row r="35" customFormat="false" ht="12.8" hidden="false" customHeight="false" outlineLevel="0" collapsed="false">
      <c r="A35" s="1" t="n">
        <v>3300</v>
      </c>
      <c r="B35" s="1" t="n">
        <f aca="false">POWER(A35, 2)</f>
        <v>10890000</v>
      </c>
      <c r="C35" s="1" t="n">
        <v>54.5615643944694</v>
      </c>
      <c r="D35" s="1" t="n">
        <v>1127.67020646586</v>
      </c>
      <c r="E35" s="1" t="n">
        <v>3.2631688643</v>
      </c>
      <c r="F35" s="1" t="n">
        <v>172.232079942</v>
      </c>
      <c r="H35" s="1" t="n">
        <v>1.75</v>
      </c>
      <c r="I35" s="1" t="n">
        <v>30.87856978</v>
      </c>
    </row>
    <row r="36" customFormat="false" ht="12.8" hidden="false" customHeight="false" outlineLevel="0" collapsed="false">
      <c r="A36" s="1" t="n">
        <v>3400</v>
      </c>
      <c r="B36" s="1" t="n">
        <f aca="false">POWER(A36, 2)</f>
        <v>11560000</v>
      </c>
      <c r="C36" s="1" t="n">
        <v>56.1802579630319</v>
      </c>
      <c r="D36" s="1" t="n">
        <v>1119.82742196762</v>
      </c>
      <c r="E36" s="1" t="n">
        <v>3.1451659344</v>
      </c>
      <c r="F36" s="1" t="n">
        <v>166.106307116</v>
      </c>
      <c r="H36" s="1" t="n">
        <v>1.8</v>
      </c>
      <c r="I36" s="1" t="n">
        <v>31.71147818</v>
      </c>
    </row>
    <row r="37" customFormat="false" ht="12.8" hidden="false" customHeight="false" outlineLevel="0" collapsed="false">
      <c r="A37" s="1" t="n">
        <v>3500</v>
      </c>
      <c r="B37" s="1" t="n">
        <f aca="false">POWER(A37, 2)</f>
        <v>12250000</v>
      </c>
      <c r="C37" s="1" t="n">
        <v>57.7941765857604</v>
      </c>
      <c r="D37" s="1" t="n">
        <v>1109.51318988487</v>
      </c>
      <c r="E37" s="1" t="n">
        <v>3.0271630045</v>
      </c>
      <c r="F37" s="1" t="n">
        <v>159.98053429</v>
      </c>
      <c r="H37" s="1" t="n">
        <v>1.85</v>
      </c>
      <c r="I37" s="1" t="n">
        <v>32.54438658</v>
      </c>
    </row>
    <row r="38" customFormat="false" ht="12.8" hidden="false" customHeight="false" outlineLevel="0" collapsed="false">
      <c r="A38" s="1" t="n">
        <v>3600</v>
      </c>
      <c r="B38" s="1" t="n">
        <f aca="false">POWER(A38, 2)</f>
        <v>12960000</v>
      </c>
      <c r="C38" s="1" t="n">
        <v>59.4027499150138</v>
      </c>
      <c r="D38" s="1" t="n">
        <v>1096.72751021761</v>
      </c>
      <c r="E38" s="1" t="n">
        <v>2.9091600746</v>
      </c>
      <c r="F38" s="1" t="n">
        <v>153.854761464</v>
      </c>
      <c r="H38" s="1" t="n">
        <v>1.9</v>
      </c>
      <c r="I38" s="1" t="n">
        <v>33.37729498</v>
      </c>
    </row>
    <row r="39" customFormat="false" ht="12.8" hidden="false" customHeight="false" outlineLevel="0" collapsed="false">
      <c r="A39" s="1" t="n">
        <v>3700</v>
      </c>
      <c r="B39" s="1" t="n">
        <f aca="false">POWER(A39, 2)</f>
        <v>13690000</v>
      </c>
      <c r="C39" s="1" t="n">
        <v>61.0053130023519</v>
      </c>
      <c r="D39" s="1" t="n">
        <v>1081.47038296585</v>
      </c>
      <c r="E39" s="1" t="n">
        <v>2.7911571447</v>
      </c>
      <c r="F39" s="1" t="n">
        <v>147.728988638</v>
      </c>
      <c r="H39" s="1" t="n">
        <v>1.95</v>
      </c>
      <c r="I39" s="1" t="n">
        <v>34.21020338</v>
      </c>
    </row>
    <row r="40" customFormat="false" ht="12.8" hidden="false" customHeight="false" outlineLevel="0" collapsed="false">
      <c r="A40" s="1" t="n">
        <v>3800</v>
      </c>
      <c r="B40" s="1" t="n">
        <f aca="false">POWER(A40, 2)</f>
        <v>14440000</v>
      </c>
      <c r="C40" s="1" t="n">
        <v>62.6010858363239</v>
      </c>
      <c r="D40" s="1" t="n">
        <v>1063.74180812958</v>
      </c>
      <c r="E40" s="1" t="n">
        <v>2.6731542148</v>
      </c>
      <c r="F40" s="1" t="n">
        <v>141.603215812</v>
      </c>
      <c r="H40" s="1" t="n">
        <v>2</v>
      </c>
      <c r="I40" s="1" t="n">
        <v>35.04311178</v>
      </c>
    </row>
    <row r="41" customFormat="false" ht="12.8" hidden="false" customHeight="false" outlineLevel="0" collapsed="false">
      <c r="A41" s="1" t="n">
        <v>3900</v>
      </c>
      <c r="B41" s="1" t="n">
        <f aca="false">POWER(A41, 2)</f>
        <v>15210000</v>
      </c>
      <c r="C41" s="1" t="n">
        <v>64.1891473289176</v>
      </c>
      <c r="D41" s="1" t="n">
        <v>1043.54178570881</v>
      </c>
      <c r="E41" s="1" t="n">
        <v>2.5551512849</v>
      </c>
      <c r="F41" s="1" t="n">
        <v>135.477442986</v>
      </c>
      <c r="H41" s="1" t="n">
        <v>2.05</v>
      </c>
      <c r="I41" s="1" t="n">
        <v>35.87602018</v>
      </c>
    </row>
    <row r="42" customFormat="false" ht="12.8" hidden="false" customHeight="false" outlineLevel="0" collapsed="false">
      <c r="A42" s="1" t="n">
        <v>4000</v>
      </c>
      <c r="B42" s="1" t="n">
        <f aca="false">POWER(A42, 2)</f>
        <v>16000000</v>
      </c>
      <c r="C42" s="1" t="n">
        <v>65.7684019103872</v>
      </c>
      <c r="D42" s="1" t="n">
        <v>1020.87031570353</v>
      </c>
      <c r="E42" s="1" t="n">
        <v>2.437148355</v>
      </c>
      <c r="F42" s="1" t="n">
        <v>129.35167016</v>
      </c>
      <c r="H42" s="1" t="n">
        <v>2.1</v>
      </c>
      <c r="I42" s="1" t="n">
        <v>36.70892858</v>
      </c>
    </row>
    <row r="43" customFormat="false" ht="12.8" hidden="false" customHeight="false" outlineLevel="0" collapsed="false">
      <c r="A43" s="1" t="n">
        <v>4100</v>
      </c>
      <c r="B43" s="1" t="n">
        <f aca="false">POWER(A43, 2)</f>
        <v>16810000</v>
      </c>
      <c r="C43" s="1" t="n">
        <v>67.337536160307</v>
      </c>
      <c r="D43" s="1" t="n">
        <v>995.72739811374</v>
      </c>
      <c r="E43" s="1" t="n">
        <v>2.3191454251</v>
      </c>
      <c r="F43" s="1" t="n">
        <v>123.225897334</v>
      </c>
      <c r="H43" s="1" t="n">
        <v>2.15</v>
      </c>
      <c r="I43" s="1" t="n">
        <v>37.54183697</v>
      </c>
    </row>
    <row r="44" customFormat="false" ht="12.8" hidden="false" customHeight="false" outlineLevel="0" collapsed="false">
      <c r="A44" s="1" t="n">
        <v>4200</v>
      </c>
      <c r="B44" s="1" t="n">
        <f aca="false">POWER(A44, 2)</f>
        <v>17640000</v>
      </c>
      <c r="C44" s="1" t="n">
        <v>68.8949618262581</v>
      </c>
      <c r="D44" s="1" t="n">
        <v>968.113032939448</v>
      </c>
      <c r="E44" s="1" t="n">
        <v>2.2011424952</v>
      </c>
      <c r="F44" s="1" t="n">
        <v>117.100124508</v>
      </c>
      <c r="H44" s="1" t="n">
        <v>2.2</v>
      </c>
      <c r="I44" s="1" t="n">
        <v>38.37474537</v>
      </c>
    </row>
    <row r="45" customFormat="false" ht="12.8" hidden="false" customHeight="false" outlineLevel="0" collapsed="false">
      <c r="A45" s="1" t="n">
        <v>4300</v>
      </c>
      <c r="B45" s="1" t="n">
        <f aca="false">POWER(A45, 2)</f>
        <v>18490000</v>
      </c>
      <c r="C45" s="1" t="n">
        <v>70.4387399703395</v>
      </c>
      <c r="D45" s="1" t="n">
        <v>938.027220180649</v>
      </c>
      <c r="E45" s="1" t="n">
        <v>2.0831395653</v>
      </c>
      <c r="F45" s="1" t="n">
        <v>110.974351682</v>
      </c>
      <c r="H45" s="1" t="n">
        <v>2.25</v>
      </c>
      <c r="I45" s="1" t="n">
        <v>39.20765377</v>
      </c>
    </row>
    <row r="46" customFormat="false" ht="12.8" hidden="false" customHeight="false" outlineLevel="0" collapsed="false">
      <c r="A46" s="1" t="n">
        <v>4400</v>
      </c>
      <c r="B46" s="1" t="n">
        <f aca="false">POWER(A46, 2)</f>
        <v>19360000</v>
      </c>
      <c r="C46" s="1" t="n">
        <v>71.9664785252617</v>
      </c>
      <c r="D46" s="1" t="n">
        <v>905.469959837344</v>
      </c>
      <c r="E46" s="1" t="n">
        <v>1.9651366354</v>
      </c>
      <c r="F46" s="1" t="n">
        <v>104.848578856</v>
      </c>
      <c r="H46" s="1" t="n">
        <v>2.3</v>
      </c>
      <c r="I46" s="1" t="n">
        <v>40.04056217</v>
      </c>
    </row>
    <row r="47" customFormat="false" ht="12.8" hidden="false" customHeight="false" outlineLevel="0" collapsed="false">
      <c r="A47" s="1" t="n">
        <v>4500</v>
      </c>
      <c r="B47" s="1" t="n">
        <f aca="false">POWER(A47, 2)</f>
        <v>20250000</v>
      </c>
      <c r="C47" s="1" t="n">
        <v>73.4751917104327</v>
      </c>
      <c r="D47" s="1" t="n">
        <v>870.441251909534</v>
      </c>
      <c r="E47" s="1" t="n">
        <v>1.8471337055</v>
      </c>
      <c r="F47" s="1" t="n">
        <v>98.72280603</v>
      </c>
      <c r="H47" s="1" t="n">
        <v>2.35</v>
      </c>
      <c r="I47" s="1" t="n">
        <v>40.87347057</v>
      </c>
    </row>
    <row r="48" customFormat="false" ht="12.8" hidden="false" customHeight="false" outlineLevel="0" collapsed="false">
      <c r="A48" s="1" t="n">
        <v>4600</v>
      </c>
      <c r="B48" s="1" t="n">
        <f aca="false">POWER(A48, 2)</f>
        <v>21160000</v>
      </c>
      <c r="C48" s="1" t="n">
        <v>74.9611036459243</v>
      </c>
      <c r="D48" s="1" t="n">
        <v>832.941096397217</v>
      </c>
      <c r="E48" s="1" t="n">
        <v>1.7291307756</v>
      </c>
      <c r="F48" s="1" t="n">
        <v>92.597033204</v>
      </c>
      <c r="H48" s="1" t="n">
        <v>2.4</v>
      </c>
      <c r="I48" s="1" t="n">
        <v>41.70637897</v>
      </c>
    </row>
    <row r="49" customFormat="false" ht="12.8" hidden="false" customHeight="false" outlineLevel="0" collapsed="false">
      <c r="A49" s="1" t="n">
        <v>4700</v>
      </c>
      <c r="B49" s="1" t="n">
        <f aca="false">POWER(A49, 2)</f>
        <v>22090000</v>
      </c>
      <c r="C49" s="1" t="n">
        <v>76.4193684924921</v>
      </c>
      <c r="D49" s="1" t="n">
        <v>792.969493300394</v>
      </c>
      <c r="E49" s="1" t="n">
        <v>1.6111278457</v>
      </c>
      <c r="F49" s="1" t="n">
        <v>86.471260378</v>
      </c>
      <c r="H49" s="1" t="n">
        <v>2.45</v>
      </c>
      <c r="I49" s="1" t="n">
        <v>42.53928737</v>
      </c>
    </row>
    <row r="50" customFormat="false" ht="12.8" hidden="false" customHeight="false" outlineLevel="0" collapsed="false">
      <c r="A50" s="1" t="n">
        <v>4800</v>
      </c>
      <c r="B50" s="1" t="n">
        <f aca="false">POWER(A50, 2)</f>
        <v>23040000</v>
      </c>
      <c r="C50" s="1" t="n">
        <v>77.8436625675794</v>
      </c>
      <c r="D50" s="1" t="n">
        <v>750.526442619065</v>
      </c>
      <c r="E50" s="1" t="n">
        <v>1.4931249158</v>
      </c>
      <c r="F50" s="1" t="n">
        <v>80.345487552</v>
      </c>
      <c r="H50" s="1" t="n">
        <v>2.5</v>
      </c>
      <c r="I50" s="1" t="n">
        <v>43.37219577</v>
      </c>
    </row>
    <row r="51" customFormat="false" ht="12.8" hidden="false" customHeight="false" outlineLevel="0" collapsed="false">
      <c r="A51" s="1" t="n">
        <v>4900</v>
      </c>
      <c r="B51" s="1" t="n">
        <f aca="false">POWER(A51, 2)</f>
        <v>24010000</v>
      </c>
      <c r="C51" s="1" t="n">
        <v>79.2255744714828</v>
      </c>
      <c r="D51" s="1" t="n">
        <v>705.61194435323</v>
      </c>
      <c r="E51" s="1" t="n">
        <v>1.3751219859</v>
      </c>
      <c r="F51" s="1" t="n">
        <v>74.219714726</v>
      </c>
      <c r="H51" s="1" t="n">
        <v>2.55</v>
      </c>
      <c r="I51" s="1" t="n">
        <v>44.20510417</v>
      </c>
    </row>
    <row r="52" customFormat="false" ht="12.8" hidden="false" customHeight="false" outlineLevel="0" collapsed="false">
      <c r="A52" s="1" t="n">
        <v>5000</v>
      </c>
      <c r="B52" s="1" t="n">
        <f aca="false">POWER(A52, 2)</f>
        <v>25000000</v>
      </c>
      <c r="C52" s="1" t="n">
        <v>80.5536660257694</v>
      </c>
      <c r="D52" s="1" t="n">
        <v>658.225998502889</v>
      </c>
      <c r="E52" s="1" t="n">
        <v>1.257119056</v>
      </c>
      <c r="F52" s="1" t="n">
        <v>68.0939419</v>
      </c>
      <c r="H52" s="1" t="n">
        <v>2.6</v>
      </c>
      <c r="I52" s="1" t="n">
        <v>45.03801257</v>
      </c>
    </row>
    <row r="53" customFormat="false" ht="12.8" hidden="false" customHeight="false" outlineLevel="0" collapsed="false">
      <c r="A53" s="1" t="n">
        <v>5100</v>
      </c>
      <c r="B53" s="1" t="n">
        <f aca="false">POWER(A53, 2)</f>
        <v>26010000</v>
      </c>
      <c r="C53" s="1" t="n">
        <v>81.8119762343297</v>
      </c>
      <c r="D53" s="1" t="n">
        <v>608.368605068042</v>
      </c>
      <c r="E53" s="1" t="n">
        <v>1.1391161261</v>
      </c>
      <c r="F53" s="1" t="n">
        <v>61.968169074</v>
      </c>
      <c r="H53" s="1" t="n">
        <v>2.65</v>
      </c>
      <c r="I53" s="1" t="n">
        <v>45.87092096</v>
      </c>
    </row>
    <row r="54" customFormat="false" ht="12.8" hidden="false" customHeight="false" outlineLevel="0" collapsed="false">
      <c r="A54" s="1" t="n">
        <v>5200</v>
      </c>
      <c r="B54" s="1" t="n">
        <f aca="false">POWER(A54, 2)</f>
        <v>27040000</v>
      </c>
      <c r="C54" s="1" t="n">
        <v>82.977540573784</v>
      </c>
      <c r="D54" s="1" t="n">
        <v>556.039764048689</v>
      </c>
      <c r="E54" s="1" t="n">
        <v>1.0211131962</v>
      </c>
      <c r="F54" s="1" t="n">
        <v>55.842396248</v>
      </c>
      <c r="H54" s="1" t="n">
        <v>2.7</v>
      </c>
      <c r="I54" s="1" t="n">
        <v>46.70382936</v>
      </c>
    </row>
    <row r="55" customFormat="false" ht="12.8" hidden="false" customHeight="false" outlineLevel="0" collapsed="false">
      <c r="A55" s="1" t="n">
        <v>5300</v>
      </c>
      <c r="B55" s="1" t="n">
        <f aca="false">POWER(A55, 2)</f>
        <v>28090000</v>
      </c>
      <c r="C55" s="1" t="n">
        <v>84.0160763383331</v>
      </c>
      <c r="D55" s="1" t="n">
        <v>501.23947544483</v>
      </c>
      <c r="E55" s="1" t="n">
        <v>0.9031102663</v>
      </c>
      <c r="F55" s="1" t="n">
        <v>49.716623422</v>
      </c>
      <c r="H55" s="1" t="n">
        <v>2.75</v>
      </c>
      <c r="I55" s="1" t="n">
        <v>47.53673776</v>
      </c>
    </row>
    <row r="56" customFormat="false" ht="12.8" hidden="false" customHeight="false" outlineLevel="0" collapsed="false">
      <c r="A56" s="1" t="n">
        <v>5400</v>
      </c>
      <c r="B56" s="1" t="n">
        <f aca="false">POWER(A56, 2)</f>
        <v>29160000</v>
      </c>
      <c r="C56" s="1" t="n">
        <v>84.8740299830265</v>
      </c>
      <c r="D56" s="1" t="n">
        <v>443.967739256464</v>
      </c>
      <c r="E56" s="1" t="n">
        <v>0.785107336399999</v>
      </c>
      <c r="F56" s="1" t="n">
        <v>43.590850596</v>
      </c>
      <c r="H56" s="1" t="n">
        <v>2.8</v>
      </c>
      <c r="I56" s="1" t="n">
        <v>48.36964616</v>
      </c>
    </row>
    <row r="57" customFormat="false" ht="12.8" hidden="false" customHeight="false" outlineLevel="0" collapsed="false">
      <c r="A57" s="1" t="n">
        <v>5500</v>
      </c>
      <c r="B57" s="1" t="n">
        <f aca="false">POWER(A57, 2)</f>
        <v>30250000</v>
      </c>
      <c r="C57" s="1" t="n">
        <v>85.4628226145174</v>
      </c>
      <c r="D57" s="1" t="n">
        <v>384.224555483593</v>
      </c>
      <c r="E57" s="1" t="n">
        <v>0.6671044065</v>
      </c>
      <c r="F57" s="1" t="n">
        <v>37.46507777</v>
      </c>
      <c r="H57" s="1" t="n">
        <v>2.85</v>
      </c>
      <c r="I57" s="1" t="n">
        <v>49.20255456</v>
      </c>
    </row>
    <row r="58" customFormat="false" ht="12.8" hidden="false" customHeight="false" outlineLevel="0" collapsed="false">
      <c r="A58" s="1" t="n">
        <v>5600</v>
      </c>
      <c r="B58" s="1" t="n">
        <f aca="false">POWER(A58, 2)</f>
        <v>31360000</v>
      </c>
      <c r="C58" s="1" t="n">
        <v>85.6246186435885</v>
      </c>
      <c r="D58" s="1" t="n">
        <v>322.009924126215</v>
      </c>
      <c r="E58" s="1" t="n">
        <v>0.5491014766</v>
      </c>
      <c r="F58" s="1" t="n">
        <v>31.339304944</v>
      </c>
      <c r="H58" s="1" t="n">
        <v>2.9</v>
      </c>
      <c r="I58" s="1" t="n">
        <v>50.03546296</v>
      </c>
    </row>
    <row r="59" customFormat="false" ht="12.8" hidden="false" customHeight="false" outlineLevel="0" collapsed="false">
      <c r="A59" s="1" t="n">
        <v>5700</v>
      </c>
      <c r="B59" s="1" t="n">
        <f aca="false">POWER(A59, 2)</f>
        <v>32490000</v>
      </c>
      <c r="C59" s="1" t="n">
        <v>85.0481942196916</v>
      </c>
      <c r="D59" s="1" t="n">
        <v>257.323845184331</v>
      </c>
      <c r="E59" s="1" t="n">
        <v>0.4310985467</v>
      </c>
      <c r="F59" s="1" t="n">
        <v>25.213532118</v>
      </c>
      <c r="H59" s="1" t="n">
        <v>2.95</v>
      </c>
      <c r="I59" s="1" t="n">
        <v>50.86837136</v>
      </c>
    </row>
    <row r="60" customFormat="false" ht="12.8" hidden="false" customHeight="false" outlineLevel="0" collapsed="false">
      <c r="A60" s="1" t="n">
        <v>5800</v>
      </c>
      <c r="B60" s="1" t="n">
        <f aca="false">POWER(A60, 2)</f>
        <v>33640000</v>
      </c>
      <c r="C60" s="1" t="n">
        <v>83.0228052390464</v>
      </c>
      <c r="D60" s="1" t="n">
        <v>190.166318657942</v>
      </c>
      <c r="E60" s="1" t="n">
        <v>0.313095616799999</v>
      </c>
      <c r="F60" s="1" t="n">
        <v>19.087759292</v>
      </c>
      <c r="H60" s="1" t="n">
        <v>3</v>
      </c>
      <c r="I60" s="1" t="n">
        <v>51.70127976</v>
      </c>
    </row>
    <row r="61" customFormat="false" ht="12.8" hidden="false" customHeight="false" outlineLevel="0" collapsed="false">
      <c r="A61" s="1" t="n">
        <v>5900</v>
      </c>
      <c r="B61" s="1" t="n">
        <f aca="false">POWER(A61, 2)</f>
        <v>34810000</v>
      </c>
      <c r="C61" s="1" t="n">
        <v>77.4941305377988</v>
      </c>
      <c r="D61" s="1" t="n">
        <v>120.537344547046</v>
      </c>
      <c r="E61" s="1" t="n">
        <v>0.1950926869</v>
      </c>
      <c r="F61" s="1" t="n">
        <v>12.961986466</v>
      </c>
      <c r="H61" s="1" t="n">
        <v>3.05</v>
      </c>
      <c r="I61" s="1" t="n">
        <v>52.53418816</v>
      </c>
    </row>
    <row r="62" customFormat="false" ht="12.8" hidden="false" customHeight="false" outlineLevel="0" collapsed="false">
      <c r="A62" s="1" t="n">
        <v>6000</v>
      </c>
      <c r="B62" s="1" t="n">
        <f aca="false">POWER(A62, 2)</f>
        <v>36000000</v>
      </c>
      <c r="C62" s="1" t="n">
        <v>59.0445303525802</v>
      </c>
      <c r="D62" s="1" t="n">
        <v>48.4369228516442</v>
      </c>
      <c r="E62" s="1" t="n">
        <v>0.0770897569999995</v>
      </c>
      <c r="F62" s="1" t="n">
        <v>6.83621363999998</v>
      </c>
      <c r="H62" s="1" t="n">
        <v>3.1</v>
      </c>
      <c r="I62" s="1" t="n">
        <v>53.36709655</v>
      </c>
    </row>
    <row r="63" customFormat="false" ht="12.8" hidden="false" customHeight="false" outlineLevel="0" collapsed="false">
      <c r="A63" s="1" t="n">
        <v>6065.32868045338</v>
      </c>
      <c r="B63" s="1" t="n">
        <f aca="false">POWER(A63, 2)</f>
        <v>36788212.0019304</v>
      </c>
      <c r="C63" s="1" t="n">
        <v>0</v>
      </c>
      <c r="D63" s="1" t="n">
        <v>0</v>
      </c>
      <c r="E63" s="1" t="n">
        <v>0</v>
      </c>
      <c r="F63" s="1" t="n">
        <v>2.83432708520235</v>
      </c>
      <c r="H63" s="1" t="n">
        <v>3.15</v>
      </c>
      <c r="I63" s="1" t="n">
        <v>54.20000495</v>
      </c>
    </row>
    <row r="64" customFormat="false" ht="12.8" hidden="false" customHeight="false" outlineLevel="0" collapsed="false">
      <c r="H64" s="1" t="n">
        <v>3.2</v>
      </c>
      <c r="I64" s="1" t="n">
        <v>55.03291335</v>
      </c>
    </row>
    <row r="65" customFormat="false" ht="12.8" hidden="false" customHeight="false" outlineLevel="0" collapsed="false">
      <c r="H65" s="1" t="n">
        <v>3.25</v>
      </c>
      <c r="I65" s="1" t="n">
        <v>55.86582175</v>
      </c>
    </row>
    <row r="66" customFormat="false" ht="12.8" hidden="false" customHeight="false" outlineLevel="0" collapsed="false">
      <c r="D66" s="1" t="s">
        <v>20</v>
      </c>
      <c r="E66" s="1" t="s">
        <v>21</v>
      </c>
      <c r="H66" s="1" t="n">
        <v>3.3</v>
      </c>
      <c r="I66" s="1" t="n">
        <v>56.69873015</v>
      </c>
    </row>
    <row r="67" customFormat="false" ht="12.8" hidden="false" customHeight="false" outlineLevel="0" collapsed="false">
      <c r="D67" s="1" t="n">
        <v>-0.000123572379225304</v>
      </c>
      <c r="E67" s="1" t="n">
        <f aca="false">SLOPE(E2:E63, $A$2:$A$63)</f>
        <v>-0.001180029299</v>
      </c>
      <c r="F67" s="1" t="n">
        <f aca="false">SLOPE(F2:F63, $A$2:$A$63)</f>
        <v>-0.06125772826</v>
      </c>
      <c r="H67" s="1" t="n">
        <v>3.35</v>
      </c>
      <c r="I67" s="1" t="n">
        <v>57.53163855</v>
      </c>
    </row>
    <row r="68" customFormat="false" ht="12.8" hidden="false" customHeight="false" outlineLevel="0" collapsed="false">
      <c r="D68" s="1" t="s">
        <v>22</v>
      </c>
      <c r="H68" s="1" t="n">
        <v>3.4</v>
      </c>
      <c r="I68" s="1" t="n">
        <v>58.36454695</v>
      </c>
    </row>
    <row r="69" customFormat="false" ht="12.8" hidden="false" customHeight="false" outlineLevel="0" collapsed="false">
      <c r="D69" s="1" t="n">
        <v>0.749507095827098</v>
      </c>
      <c r="E69" s="1" t="s">
        <v>23</v>
      </c>
      <c r="H69" s="1" t="n">
        <v>3.45</v>
      </c>
      <c r="I69" s="1" t="n">
        <v>59.19745535</v>
      </c>
    </row>
    <row r="70" customFormat="false" ht="12.8" hidden="false" customHeight="false" outlineLevel="0" collapsed="false">
      <c r="E70" s="1" t="n">
        <f aca="false">INTERCEPT(E2:E63, $A$2:$A$63)</f>
        <v>7.157265551</v>
      </c>
      <c r="F70" s="1" t="n">
        <f aca="false">INTERCEPT(F2:F63, $A$2:$A$63)</f>
        <v>374.3825832</v>
      </c>
      <c r="H70" s="1" t="n">
        <v>3.5</v>
      </c>
      <c r="I70" s="1" t="n">
        <v>60.03036375</v>
      </c>
    </row>
    <row r="71" customFormat="false" ht="12.8" hidden="false" customHeight="false" outlineLevel="0" collapsed="false">
      <c r="H71" s="1" t="n">
        <v>3.55</v>
      </c>
      <c r="I71" s="1" t="n">
        <v>60.86327215</v>
      </c>
    </row>
    <row r="72" customFormat="false" ht="12.8" hidden="false" customHeight="false" outlineLevel="0" collapsed="false">
      <c r="H72" s="1" t="n">
        <v>3.6</v>
      </c>
      <c r="I72" s="1" t="n">
        <v>61.69618054</v>
      </c>
    </row>
    <row r="73" customFormat="false" ht="12.8" hidden="false" customHeight="false" outlineLevel="0" collapsed="false">
      <c r="H73" s="1" t="n">
        <v>3.65</v>
      </c>
      <c r="I73" s="1" t="n">
        <v>62.52908894</v>
      </c>
    </row>
    <row r="74" customFormat="false" ht="12.8" hidden="false" customHeight="false" outlineLevel="0" collapsed="false">
      <c r="H74" s="1" t="n">
        <v>3.7</v>
      </c>
      <c r="I74" s="1" t="n">
        <v>63.36199734</v>
      </c>
    </row>
    <row r="75" customFormat="false" ht="12.8" hidden="false" customHeight="false" outlineLevel="0" collapsed="false">
      <c r="H75" s="1" t="n">
        <v>3.75</v>
      </c>
      <c r="I75" s="1" t="n">
        <v>64.19490574</v>
      </c>
    </row>
    <row r="76" customFormat="false" ht="12.8" hidden="false" customHeight="false" outlineLevel="0" collapsed="false">
      <c r="H76" s="1" t="n">
        <v>3.8</v>
      </c>
      <c r="I76" s="1" t="n">
        <v>65.02781414</v>
      </c>
    </row>
    <row r="77" customFormat="false" ht="12.8" hidden="false" customHeight="false" outlineLevel="0" collapsed="false">
      <c r="H77" s="1" t="n">
        <v>3.85</v>
      </c>
      <c r="I77" s="1" t="n">
        <v>65.86072254</v>
      </c>
    </row>
    <row r="78" customFormat="false" ht="12.8" hidden="false" customHeight="false" outlineLevel="0" collapsed="false">
      <c r="H78" s="1" t="n">
        <v>3.9</v>
      </c>
      <c r="I78" s="1" t="n">
        <v>66.69363094</v>
      </c>
    </row>
    <row r="79" customFormat="false" ht="12.8" hidden="false" customHeight="false" outlineLevel="0" collapsed="false">
      <c r="H79" s="1" t="n">
        <v>3.95</v>
      </c>
      <c r="I79" s="1" t="n">
        <v>67.52653934</v>
      </c>
    </row>
    <row r="80" customFormat="false" ht="12.8" hidden="false" customHeight="false" outlineLevel="0" collapsed="false">
      <c r="H80" s="1" t="n">
        <v>4</v>
      </c>
      <c r="I80" s="1" t="n">
        <v>68.35944774</v>
      </c>
    </row>
    <row r="82" customFormat="false" ht="12.8" hidden="false" customHeight="false" outlineLevel="0" collapsed="false">
      <c r="I82" s="1" t="s">
        <v>24</v>
      </c>
    </row>
    <row r="83" customFormat="false" ht="12.8" hidden="false" customHeight="false" outlineLevel="0" collapsed="false">
      <c r="I83" s="1" t="n">
        <f aca="false">SLOPE(I2:I80, H2:H80)</f>
        <v>16.6581679789776</v>
      </c>
    </row>
    <row r="85" customFormat="false" ht="12.8" hidden="false" customHeight="false" outlineLevel="0" collapsed="false">
      <c r="I85" s="1" t="s">
        <v>25</v>
      </c>
    </row>
    <row r="86" customFormat="false" ht="12.8" hidden="false" customHeight="false" outlineLevel="0" collapsed="false">
      <c r="I86" s="1" t="n">
        <f aca="false">INTERCEPT(I2:I80, H2:H80)</f>
        <v>1.72677582013389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Caleb H</cp:lastModifiedBy>
  <dcterms:modified xsi:type="dcterms:W3CDTF">2026-03-11T22:57:00Z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